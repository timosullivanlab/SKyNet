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lee/Downloads/"/>
    </mc:Choice>
  </mc:AlternateContent>
  <xr:revisionPtr revIDLastSave="0" documentId="13_ncr:9_{A2B01498-9741-5249-B5F7-0C89BE363EBA}" xr6:coauthVersionLast="47" xr6:coauthVersionMax="47" xr10:uidLastSave="{00000000-0000-0000-0000-000000000000}"/>
  <bookViews>
    <workbookView xWindow="5180" yWindow="600" windowWidth="28040" windowHeight="16240" xr2:uid="{A668F083-FB18-0B4A-B22E-11952B5CCB05}"/>
  </bookViews>
  <sheets>
    <sheet name="paad_ctpanda" sheetId="1" r:id="rId1"/>
  </sheets>
  <calcPr calcId="0"/>
</workbook>
</file>

<file path=xl/calcChain.xml><?xml version="1.0" encoding="utf-8"?>
<calcChain xmlns="http://schemas.openxmlformats.org/spreadsheetml/2006/main">
  <c r="I31" i="1" l="1" a="1"/>
  <c r="I31" i="1" s="1"/>
  <c r="J31" i="1" a="1"/>
  <c r="J31" i="1" s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  <c r="H31" i="1" l="1" a="1"/>
  <c r="H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<sst xmlns="http://schemas.openxmlformats.org/spreadsheetml/2006/main" count="154" uniqueCount="53">
  <si>
    <t>Sender</t>
  </si>
  <si>
    <t>Ligand</t>
  </si>
  <si>
    <t>Direction (SKyNet)</t>
  </si>
  <si>
    <t>IFN.primed.macrophage</t>
  </si>
  <si>
    <t>TNFSF14</t>
  </si>
  <si>
    <t>Positive</t>
  </si>
  <si>
    <t>EREG</t>
  </si>
  <si>
    <t>Negative</t>
  </si>
  <si>
    <t>PVM</t>
  </si>
  <si>
    <t>TGFA</t>
  </si>
  <si>
    <t>Fibro</t>
  </si>
  <si>
    <t>TNC</t>
  </si>
  <si>
    <t>WNT5A</t>
  </si>
  <si>
    <t>Vein.endothelial</t>
  </si>
  <si>
    <t>Pancreatic.beta.endocrine.cell</t>
  </si>
  <si>
    <t>LAMA3</t>
  </si>
  <si>
    <t>Pericyte</t>
  </si>
  <si>
    <t>Activated.CD8..T.cell</t>
  </si>
  <si>
    <t>AREG</t>
  </si>
  <si>
    <t>Mature.NK</t>
  </si>
  <si>
    <t>Mast.cell</t>
  </si>
  <si>
    <t>CDH1</t>
  </si>
  <si>
    <t>Artery.endothelial</t>
  </si>
  <si>
    <t>TIMP3</t>
  </si>
  <si>
    <t>Capillary.endothelial</t>
  </si>
  <si>
    <t>COL4A1</t>
  </si>
  <si>
    <t>LAMC1</t>
  </si>
  <si>
    <t>trNK</t>
  </si>
  <si>
    <t>SPP1</t>
  </si>
  <si>
    <t>NID1</t>
  </si>
  <si>
    <t>SERPINE1</t>
  </si>
  <si>
    <t>TGM2</t>
  </si>
  <si>
    <t>cDC2b</t>
  </si>
  <si>
    <t>PLAT</t>
  </si>
  <si>
    <t>RLN2</t>
  </si>
  <si>
    <t>DUSP18</t>
  </si>
  <si>
    <t>Direction (ctPanda)</t>
  </si>
  <si>
    <t>pval</t>
  </si>
  <si>
    <t>Sender (ctPanda)</t>
  </si>
  <si>
    <t>CAF (L2)</t>
  </si>
  <si>
    <t>Macrophage (L3)</t>
  </si>
  <si>
    <t>Endothelial-Venous (L3)</t>
  </si>
  <si>
    <t>Endocrine-B (L3)</t>
  </si>
  <si>
    <t>Pericyte (L3)</t>
  </si>
  <si>
    <t>CD8T (L3)</t>
  </si>
  <si>
    <t>NK (L3)</t>
  </si>
  <si>
    <t>Mast (L3)</t>
  </si>
  <si>
    <t>Endothelial-Arterial (L3)</t>
  </si>
  <si>
    <t>Endothelial-Capillary-like (L3)</t>
  </si>
  <si>
    <t>agreement</t>
  </si>
  <si>
    <t>cdC2 (L3)</t>
  </si>
  <si>
    <t>sig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</si>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</sst>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78BC-AABD-BA4F-AA93-2F7490AB7671}">
  <dimension ref="A1:J31"/>
  <sheetViews>
    <sheetView tabSelected="1" zoomScale="150" workbookViewId="0">
      <selection activeCell="H33" sqref="H33"/>
    </sheetView>
  </sheetViews>
  <sheetFormatPr baseColWidth="10" defaultRowHeight="16" x14ac:dyDescent="0.2"/>
  <cols>
    <col min="1" max="1" width="4.6640625" customWidth="1"/>
    <col min="2" max="2" width="24.83203125" customWidth="1"/>
    <col min="4" max="4" width="15.33203125" customWidth="1"/>
    <col min="5" max="5" width="24.83203125" customWidth="1"/>
    <col min="6" max="6" width="17.1640625" customWidth="1"/>
  </cols>
  <sheetData>
    <row r="1" spans="1:10" x14ac:dyDescent="0.2">
      <c r="A1" s="1"/>
      <c r="B1" s="1" t="s">
        <v>0</v>
      </c>
      <c r="C1" s="1" t="s">
        <v>1</v>
      </c>
      <c r="D1" s="1" t="s">
        <v>2</v>
      </c>
      <c r="E1" s="1" t="s">
        <v>38</v>
      </c>
      <c r="F1" s="1" t="s">
        <v>36</v>
      </c>
      <c r="G1" s="1" t="s">
        <v>37</v>
      </c>
      <c r="H1" s="1" t="s">
        <v>49</v>
      </c>
      <c r="I1" s="1" t="s">
        <v>51</v>
      </c>
      <c r="J1" s="1" t="s">
        <v>52</v>
      </c>
    </row>
    <row r="2" spans="1:10" x14ac:dyDescent="0.2">
      <c r="A2" s="1">
        <v>1</v>
      </c>
      <c r="B2" s="1" t="s">
        <v>3</v>
      </c>
      <c r="C2" s="1" t="s">
        <v>4</v>
      </c>
      <c r="D2" s="1" t="s">
        <v>5</v>
      </c>
      <c r="E2" s="1" t="s">
        <v>40</v>
      </c>
      <c r="F2" s="1" t="s">
        <v>5</v>
      </c>
      <c r="G2" s="1">
        <v>6.4000000000000001E-2</v>
      </c>
      <c r="H2" t="b">
        <f>AND(F2=D2,G2 &lt; 0.1)</f>
        <v>1</v>
      </c>
      <c r="I2" t="b">
        <f>G2&lt;0.1</f>
        <v>1</v>
      </c>
      <c r="J2" t="b">
        <f>AND(H2,I2)</f>
        <v>1</v>
      </c>
    </row>
    <row r="3" spans="1:10" x14ac:dyDescent="0.2">
      <c r="A3" s="1">
        <v>2</v>
      </c>
      <c r="B3" s="1" t="s">
        <v>3</v>
      </c>
      <c r="C3" s="1" t="s">
        <v>6</v>
      </c>
      <c r="D3" s="1" t="s">
        <v>7</v>
      </c>
      <c r="E3" s="1" t="s">
        <v>40</v>
      </c>
      <c r="F3" s="1" t="s">
        <v>7</v>
      </c>
      <c r="G3" s="1">
        <v>6.9000000000000006E-2</v>
      </c>
      <c r="H3" t="b">
        <f t="shared" ref="H3:H30" si="0">F3=D3</f>
        <v>1</v>
      </c>
      <c r="I3" t="b">
        <f t="shared" ref="I3:I30" si="1">G3&lt;0.1</f>
        <v>1</v>
      </c>
      <c r="J3" t="b">
        <f t="shared" ref="J3:J30" si="2">AND(H3,I3)</f>
        <v>1</v>
      </c>
    </row>
    <row r="4" spans="1:10" x14ac:dyDescent="0.2">
      <c r="A4" s="1">
        <v>3</v>
      </c>
      <c r="B4" s="1" t="s">
        <v>8</v>
      </c>
      <c r="C4" s="1" t="s">
        <v>9</v>
      </c>
      <c r="D4" s="1" t="s">
        <v>7</v>
      </c>
      <c r="E4" s="1" t="s">
        <v>40</v>
      </c>
      <c r="F4" s="1" t="s">
        <v>7</v>
      </c>
      <c r="G4" s="1">
        <v>4.9000000000000002E-2</v>
      </c>
      <c r="H4" t="b">
        <f t="shared" si="0"/>
        <v>1</v>
      </c>
      <c r="I4" t="b">
        <f t="shared" si="1"/>
        <v>1</v>
      </c>
      <c r="J4" t="b">
        <f t="shared" si="2"/>
        <v>1</v>
      </c>
    </row>
    <row r="5" spans="1:10" x14ac:dyDescent="0.2">
      <c r="A5" s="1">
        <v>4</v>
      </c>
      <c r="B5" s="1" t="s">
        <v>10</v>
      </c>
      <c r="C5" s="1" t="s">
        <v>11</v>
      </c>
      <c r="D5" s="1" t="s">
        <v>7</v>
      </c>
      <c r="E5" s="1" t="s">
        <v>39</v>
      </c>
      <c r="F5" s="1" t="s">
        <v>7</v>
      </c>
      <c r="G5" s="1">
        <v>6.9000000000000006E-2</v>
      </c>
      <c r="H5" t="b">
        <f t="shared" si="0"/>
        <v>1</v>
      </c>
      <c r="I5" t="b">
        <f t="shared" si="1"/>
        <v>1</v>
      </c>
      <c r="J5" t="b">
        <f t="shared" si="2"/>
        <v>1</v>
      </c>
    </row>
    <row r="6" spans="1:10" x14ac:dyDescent="0.2">
      <c r="A6" s="1">
        <v>5</v>
      </c>
      <c r="B6" s="1" t="s">
        <v>3</v>
      </c>
      <c r="C6" s="1" t="s">
        <v>12</v>
      </c>
      <c r="D6" s="1" t="s">
        <v>7</v>
      </c>
      <c r="E6" s="1" t="s">
        <v>40</v>
      </c>
      <c r="F6" s="1" t="s">
        <v>5</v>
      </c>
      <c r="G6" s="1">
        <v>0.17</v>
      </c>
      <c r="H6" t="b">
        <f t="shared" si="0"/>
        <v>0</v>
      </c>
      <c r="I6" t="b">
        <f t="shared" si="1"/>
        <v>0</v>
      </c>
      <c r="J6" t="b">
        <f t="shared" si="2"/>
        <v>0</v>
      </c>
    </row>
    <row r="7" spans="1:10" x14ac:dyDescent="0.2">
      <c r="A7" s="1">
        <v>6</v>
      </c>
      <c r="B7" s="1" t="s">
        <v>13</v>
      </c>
      <c r="C7" s="1" t="s">
        <v>12</v>
      </c>
      <c r="D7" s="1" t="s">
        <v>7</v>
      </c>
      <c r="E7" s="1" t="s">
        <v>41</v>
      </c>
      <c r="F7" s="1" t="s">
        <v>5</v>
      </c>
      <c r="G7" s="1">
        <v>0.4</v>
      </c>
      <c r="H7" t="b">
        <f t="shared" si="0"/>
        <v>0</v>
      </c>
      <c r="I7" t="b">
        <f t="shared" si="1"/>
        <v>0</v>
      </c>
      <c r="J7" t="b">
        <f t="shared" si="2"/>
        <v>0</v>
      </c>
    </row>
    <row r="8" spans="1:10" x14ac:dyDescent="0.2">
      <c r="A8" s="1">
        <v>7</v>
      </c>
      <c r="B8" s="1" t="s">
        <v>14</v>
      </c>
      <c r="C8" s="1" t="s">
        <v>12</v>
      </c>
      <c r="D8" s="1" t="s">
        <v>7</v>
      </c>
      <c r="E8" s="1" t="s">
        <v>42</v>
      </c>
      <c r="F8" s="1" t="s">
        <v>7</v>
      </c>
      <c r="G8" s="1">
        <v>0.56999999999999995</v>
      </c>
      <c r="H8" t="b">
        <f t="shared" si="0"/>
        <v>1</v>
      </c>
      <c r="I8" t="b">
        <f t="shared" si="1"/>
        <v>0</v>
      </c>
      <c r="J8" t="b">
        <f t="shared" si="2"/>
        <v>0</v>
      </c>
    </row>
    <row r="9" spans="1:10" x14ac:dyDescent="0.2">
      <c r="A9" s="1">
        <v>8</v>
      </c>
      <c r="B9" s="1" t="s">
        <v>13</v>
      </c>
      <c r="C9" s="1" t="s">
        <v>15</v>
      </c>
      <c r="D9" s="1" t="s">
        <v>7</v>
      </c>
      <c r="E9" s="1" t="s">
        <v>41</v>
      </c>
      <c r="F9" s="1" t="s">
        <v>7</v>
      </c>
      <c r="G9" s="1">
        <v>8.3000000000000004E-2</v>
      </c>
      <c r="H9" t="b">
        <f t="shared" si="0"/>
        <v>1</v>
      </c>
      <c r="I9" t="b">
        <f t="shared" si="1"/>
        <v>1</v>
      </c>
      <c r="J9" t="b">
        <f t="shared" si="2"/>
        <v>1</v>
      </c>
    </row>
    <row r="10" spans="1:10" x14ac:dyDescent="0.2">
      <c r="A10" s="1">
        <v>9</v>
      </c>
      <c r="B10" s="1" t="s">
        <v>16</v>
      </c>
      <c r="C10" s="1" t="s">
        <v>15</v>
      </c>
      <c r="D10" s="1" t="s">
        <v>7</v>
      </c>
      <c r="E10" s="1" t="s">
        <v>43</v>
      </c>
      <c r="F10" s="1" t="s">
        <v>5</v>
      </c>
      <c r="G10" s="1">
        <v>5.1999999999999998E-2</v>
      </c>
      <c r="H10" t="b">
        <f t="shared" si="0"/>
        <v>0</v>
      </c>
      <c r="I10" t="b">
        <f t="shared" si="1"/>
        <v>1</v>
      </c>
      <c r="J10" t="b">
        <f t="shared" si="2"/>
        <v>0</v>
      </c>
    </row>
    <row r="11" spans="1:10" x14ac:dyDescent="0.2">
      <c r="A11" s="1">
        <v>10</v>
      </c>
      <c r="B11" s="1" t="s">
        <v>17</v>
      </c>
      <c r="C11" s="1" t="s">
        <v>18</v>
      </c>
      <c r="D11" s="1" t="s">
        <v>7</v>
      </c>
      <c r="E11" s="1" t="s">
        <v>44</v>
      </c>
      <c r="F11" s="1" t="s">
        <v>7</v>
      </c>
      <c r="G11" s="1">
        <v>6.8000000000000005E-2</v>
      </c>
      <c r="H11" t="b">
        <f t="shared" si="0"/>
        <v>1</v>
      </c>
      <c r="I11" t="b">
        <f t="shared" si="1"/>
        <v>1</v>
      </c>
      <c r="J11" t="b">
        <f t="shared" si="2"/>
        <v>1</v>
      </c>
    </row>
    <row r="12" spans="1:10" x14ac:dyDescent="0.2">
      <c r="A12" s="1">
        <v>11</v>
      </c>
      <c r="B12" s="1" t="s">
        <v>19</v>
      </c>
      <c r="C12" s="1" t="s">
        <v>18</v>
      </c>
      <c r="D12" s="1" t="s">
        <v>7</v>
      </c>
      <c r="E12" s="1" t="s">
        <v>45</v>
      </c>
      <c r="F12" s="1" t="s">
        <v>7</v>
      </c>
      <c r="G12" s="1">
        <v>0.43</v>
      </c>
      <c r="H12" t="b">
        <f t="shared" si="0"/>
        <v>1</v>
      </c>
      <c r="I12" t="b">
        <f t="shared" si="1"/>
        <v>0</v>
      </c>
      <c r="J12" t="b">
        <f t="shared" si="2"/>
        <v>0</v>
      </c>
    </row>
    <row r="13" spans="1:10" x14ac:dyDescent="0.2">
      <c r="A13" s="1">
        <v>12</v>
      </c>
      <c r="B13" s="1" t="s">
        <v>20</v>
      </c>
      <c r="C13" s="1" t="s">
        <v>18</v>
      </c>
      <c r="D13" s="1" t="s">
        <v>7</v>
      </c>
      <c r="E13" s="1" t="s">
        <v>46</v>
      </c>
      <c r="F13" s="1" t="s">
        <v>7</v>
      </c>
      <c r="G13" s="1">
        <v>0.68</v>
      </c>
      <c r="H13" t="b">
        <f t="shared" si="0"/>
        <v>1</v>
      </c>
      <c r="I13" t="b">
        <f t="shared" si="1"/>
        <v>0</v>
      </c>
      <c r="J13" t="b">
        <f t="shared" si="2"/>
        <v>0</v>
      </c>
    </row>
    <row r="14" spans="1:10" x14ac:dyDescent="0.2">
      <c r="A14" s="1">
        <v>13</v>
      </c>
      <c r="B14" s="1" t="s">
        <v>13</v>
      </c>
      <c r="C14" s="1" t="s">
        <v>21</v>
      </c>
      <c r="D14" s="1" t="s">
        <v>7</v>
      </c>
      <c r="E14" s="1" t="s">
        <v>41</v>
      </c>
      <c r="F14" s="1" t="s">
        <v>5</v>
      </c>
      <c r="G14" s="1">
        <v>1.6999999999999999E-3</v>
      </c>
      <c r="H14" t="b">
        <f t="shared" si="0"/>
        <v>0</v>
      </c>
      <c r="I14" t="b">
        <f t="shared" si="1"/>
        <v>1</v>
      </c>
      <c r="J14" t="b">
        <f t="shared" si="2"/>
        <v>0</v>
      </c>
    </row>
    <row r="15" spans="1:10" x14ac:dyDescent="0.2">
      <c r="A15" s="1">
        <v>14</v>
      </c>
      <c r="B15" s="1" t="s">
        <v>22</v>
      </c>
      <c r="C15" s="1" t="s">
        <v>23</v>
      </c>
      <c r="D15" s="1" t="s">
        <v>7</v>
      </c>
      <c r="E15" s="1" t="s">
        <v>47</v>
      </c>
      <c r="F15" s="1" t="s">
        <v>5</v>
      </c>
      <c r="G15" s="1">
        <v>0.11</v>
      </c>
      <c r="H15" t="b">
        <f t="shared" si="0"/>
        <v>0</v>
      </c>
      <c r="I15" t="b">
        <f t="shared" si="1"/>
        <v>0</v>
      </c>
      <c r="J15" t="b">
        <f t="shared" si="2"/>
        <v>0</v>
      </c>
    </row>
    <row r="16" spans="1:10" x14ac:dyDescent="0.2">
      <c r="A16" s="1">
        <v>15</v>
      </c>
      <c r="B16" s="1" t="s">
        <v>24</v>
      </c>
      <c r="C16" s="1" t="s">
        <v>25</v>
      </c>
      <c r="D16" s="1" t="s">
        <v>7</v>
      </c>
      <c r="E16" s="1" t="s">
        <v>48</v>
      </c>
      <c r="F16" s="1" t="s">
        <v>7</v>
      </c>
      <c r="G16" s="1">
        <v>4.3999999999999997E-2</v>
      </c>
      <c r="H16" t="b">
        <f t="shared" si="0"/>
        <v>1</v>
      </c>
      <c r="I16" t="b">
        <f t="shared" si="1"/>
        <v>1</v>
      </c>
      <c r="J16" t="b">
        <f t="shared" si="2"/>
        <v>1</v>
      </c>
    </row>
    <row r="17" spans="1:10" x14ac:dyDescent="0.2">
      <c r="A17" s="1">
        <v>16</v>
      </c>
      <c r="B17" s="1" t="s">
        <v>22</v>
      </c>
      <c r="C17" s="1" t="s">
        <v>25</v>
      </c>
      <c r="D17" s="1" t="s">
        <v>7</v>
      </c>
      <c r="E17" s="1" t="s">
        <v>47</v>
      </c>
      <c r="F17" s="1" t="s">
        <v>7</v>
      </c>
      <c r="G17" s="1">
        <v>0.04</v>
      </c>
      <c r="H17" t="b">
        <f t="shared" si="0"/>
        <v>1</v>
      </c>
      <c r="I17" t="b">
        <f t="shared" si="1"/>
        <v>1</v>
      </c>
      <c r="J17" t="b">
        <f t="shared" si="2"/>
        <v>1</v>
      </c>
    </row>
    <row r="18" spans="1:10" x14ac:dyDescent="0.2">
      <c r="A18" s="1">
        <v>17</v>
      </c>
      <c r="B18" s="1" t="s">
        <v>22</v>
      </c>
      <c r="C18" s="1" t="s">
        <v>26</v>
      </c>
      <c r="D18" s="1" t="s">
        <v>7</v>
      </c>
      <c r="E18" s="1" t="s">
        <v>47</v>
      </c>
      <c r="F18" s="1" t="s">
        <v>7</v>
      </c>
      <c r="G18" s="2">
        <v>6.9999999999999999E-4</v>
      </c>
      <c r="H18" t="b">
        <f t="shared" si="0"/>
        <v>1</v>
      </c>
      <c r="I18" t="b">
        <f t="shared" si="1"/>
        <v>1</v>
      </c>
      <c r="J18" t="b">
        <f t="shared" si="2"/>
        <v>1</v>
      </c>
    </row>
    <row r="19" spans="1:10" x14ac:dyDescent="0.2">
      <c r="A19" s="1">
        <v>18</v>
      </c>
      <c r="B19" s="1" t="s">
        <v>27</v>
      </c>
      <c r="C19" s="1" t="s">
        <v>28</v>
      </c>
      <c r="D19" s="1" t="s">
        <v>7</v>
      </c>
      <c r="E19" s="1" t="s">
        <v>45</v>
      </c>
      <c r="F19" s="1" t="s">
        <v>5</v>
      </c>
      <c r="G19" s="1">
        <v>0.31</v>
      </c>
      <c r="H19" t="b">
        <f t="shared" si="0"/>
        <v>0</v>
      </c>
      <c r="I19" t="b">
        <f t="shared" si="1"/>
        <v>0</v>
      </c>
      <c r="J19" t="b">
        <f t="shared" si="2"/>
        <v>0</v>
      </c>
    </row>
    <row r="20" spans="1:10" x14ac:dyDescent="0.2">
      <c r="A20" s="1">
        <v>19</v>
      </c>
      <c r="B20" s="1" t="s">
        <v>13</v>
      </c>
      <c r="C20" s="1" t="s">
        <v>28</v>
      </c>
      <c r="D20" s="1" t="s">
        <v>7</v>
      </c>
      <c r="E20" s="1" t="s">
        <v>41</v>
      </c>
      <c r="F20" s="1" t="s">
        <v>5</v>
      </c>
      <c r="G20" s="1">
        <v>0.17</v>
      </c>
      <c r="H20" t="b">
        <f t="shared" si="0"/>
        <v>0</v>
      </c>
      <c r="I20" t="b">
        <f t="shared" si="1"/>
        <v>0</v>
      </c>
      <c r="J20" t="b">
        <f t="shared" si="2"/>
        <v>0</v>
      </c>
    </row>
    <row r="21" spans="1:10" x14ac:dyDescent="0.2">
      <c r="A21" s="1">
        <v>20</v>
      </c>
      <c r="B21" s="1" t="s">
        <v>24</v>
      </c>
      <c r="C21" s="1" t="s">
        <v>29</v>
      </c>
      <c r="D21" s="1" t="s">
        <v>7</v>
      </c>
      <c r="E21" s="1" t="s">
        <v>48</v>
      </c>
      <c r="F21" s="1" t="s">
        <v>7</v>
      </c>
      <c r="G21" s="1">
        <v>6.4000000000000001E-2</v>
      </c>
      <c r="H21" t="b">
        <f t="shared" si="0"/>
        <v>1</v>
      </c>
      <c r="I21" t="b">
        <f t="shared" si="1"/>
        <v>1</v>
      </c>
      <c r="J21" t="b">
        <f t="shared" si="2"/>
        <v>1</v>
      </c>
    </row>
    <row r="22" spans="1:10" x14ac:dyDescent="0.2">
      <c r="A22" s="1">
        <v>21</v>
      </c>
      <c r="B22" s="1" t="s">
        <v>24</v>
      </c>
      <c r="C22" s="1" t="s">
        <v>30</v>
      </c>
      <c r="D22" s="1" t="s">
        <v>7</v>
      </c>
      <c r="E22" s="1" t="s">
        <v>48</v>
      </c>
      <c r="F22" s="1" t="s">
        <v>7</v>
      </c>
      <c r="G22" s="1">
        <v>2.2000000000000001E-3</v>
      </c>
      <c r="H22" t="b">
        <f t="shared" si="0"/>
        <v>1</v>
      </c>
      <c r="I22" t="b">
        <f t="shared" si="1"/>
        <v>1</v>
      </c>
      <c r="J22" t="b">
        <f t="shared" si="2"/>
        <v>1</v>
      </c>
    </row>
    <row r="23" spans="1:10" x14ac:dyDescent="0.2">
      <c r="A23" s="1">
        <v>22</v>
      </c>
      <c r="B23" s="1" t="s">
        <v>27</v>
      </c>
      <c r="C23" s="1" t="s">
        <v>31</v>
      </c>
      <c r="D23" s="1" t="s">
        <v>7</v>
      </c>
      <c r="E23" s="1" t="s">
        <v>45</v>
      </c>
      <c r="F23" s="1" t="s">
        <v>7</v>
      </c>
      <c r="G23" s="1">
        <v>5.5E-2</v>
      </c>
      <c r="H23" t="b">
        <f t="shared" si="0"/>
        <v>1</v>
      </c>
      <c r="I23" t="b">
        <f t="shared" si="1"/>
        <v>1</v>
      </c>
      <c r="J23" t="b">
        <f t="shared" si="2"/>
        <v>1</v>
      </c>
    </row>
    <row r="24" spans="1:10" x14ac:dyDescent="0.2">
      <c r="A24" s="1">
        <v>23</v>
      </c>
      <c r="B24" s="1" t="s">
        <v>32</v>
      </c>
      <c r="C24" s="1" t="s">
        <v>31</v>
      </c>
      <c r="D24" s="1" t="s">
        <v>7</v>
      </c>
      <c r="E24" s="1" t="s">
        <v>50</v>
      </c>
      <c r="F24" s="1" t="s">
        <v>5</v>
      </c>
      <c r="G24" s="1">
        <v>0.28000000000000003</v>
      </c>
      <c r="H24" t="b">
        <f t="shared" si="0"/>
        <v>0</v>
      </c>
      <c r="I24" t="b">
        <f t="shared" si="1"/>
        <v>0</v>
      </c>
      <c r="J24" t="b">
        <f t="shared" si="2"/>
        <v>0</v>
      </c>
    </row>
    <row r="25" spans="1:10" x14ac:dyDescent="0.2">
      <c r="A25" s="1">
        <v>24</v>
      </c>
      <c r="B25" s="1" t="s">
        <v>3</v>
      </c>
      <c r="C25" s="1" t="s">
        <v>31</v>
      </c>
      <c r="D25" s="1" t="s">
        <v>7</v>
      </c>
      <c r="E25" s="1" t="s">
        <v>40</v>
      </c>
      <c r="F25" s="1" t="s">
        <v>7</v>
      </c>
      <c r="G25" s="1">
        <v>7.1999999999999995E-2</v>
      </c>
      <c r="H25" t="b">
        <f t="shared" si="0"/>
        <v>1</v>
      </c>
      <c r="I25" t="b">
        <f t="shared" si="1"/>
        <v>1</v>
      </c>
      <c r="J25" t="b">
        <f t="shared" si="2"/>
        <v>1</v>
      </c>
    </row>
    <row r="26" spans="1:10" x14ac:dyDescent="0.2">
      <c r="A26" s="1">
        <v>25</v>
      </c>
      <c r="B26" s="1" t="s">
        <v>24</v>
      </c>
      <c r="C26" s="1" t="s">
        <v>31</v>
      </c>
      <c r="D26" s="1" t="s">
        <v>7</v>
      </c>
      <c r="E26" s="1" t="s">
        <v>48</v>
      </c>
      <c r="F26" s="1" t="s">
        <v>7</v>
      </c>
      <c r="G26" s="1">
        <v>2.1999999999999999E-2</v>
      </c>
      <c r="H26" t="b">
        <f t="shared" si="0"/>
        <v>1</v>
      </c>
      <c r="I26" t="b">
        <f t="shared" si="1"/>
        <v>1</v>
      </c>
      <c r="J26" t="b">
        <f t="shared" si="2"/>
        <v>1</v>
      </c>
    </row>
    <row r="27" spans="1:10" x14ac:dyDescent="0.2">
      <c r="A27" s="1">
        <v>26</v>
      </c>
      <c r="B27" s="1" t="s">
        <v>24</v>
      </c>
      <c r="C27" s="1" t="s">
        <v>33</v>
      </c>
      <c r="D27" s="1" t="s">
        <v>7</v>
      </c>
      <c r="E27" s="1" t="s">
        <v>48</v>
      </c>
      <c r="F27" s="1" t="s">
        <v>7</v>
      </c>
      <c r="G27" s="1">
        <v>1.8000000000000001E-4</v>
      </c>
      <c r="H27" t="b">
        <f t="shared" si="0"/>
        <v>1</v>
      </c>
      <c r="I27" t="b">
        <f t="shared" si="1"/>
        <v>1</v>
      </c>
      <c r="J27" t="b">
        <f t="shared" si="2"/>
        <v>1</v>
      </c>
    </row>
    <row r="28" spans="1:10" x14ac:dyDescent="0.2">
      <c r="A28" s="1">
        <v>27</v>
      </c>
      <c r="B28" s="1" t="s">
        <v>22</v>
      </c>
      <c r="C28" s="1" t="s">
        <v>33</v>
      </c>
      <c r="D28" s="1" t="s">
        <v>7</v>
      </c>
      <c r="E28" s="1" t="s">
        <v>47</v>
      </c>
      <c r="F28" s="1" t="s">
        <v>7</v>
      </c>
      <c r="G28" s="1">
        <v>5.7000000000000002E-2</v>
      </c>
      <c r="H28" t="b">
        <f t="shared" si="0"/>
        <v>1</v>
      </c>
      <c r="I28" t="b">
        <f t="shared" si="1"/>
        <v>1</v>
      </c>
      <c r="J28" t="b">
        <f t="shared" si="2"/>
        <v>1</v>
      </c>
    </row>
    <row r="29" spans="1:10" x14ac:dyDescent="0.2">
      <c r="A29" s="1">
        <v>28</v>
      </c>
      <c r="B29" s="1" t="s">
        <v>14</v>
      </c>
      <c r="C29" s="1" t="s">
        <v>34</v>
      </c>
      <c r="D29" s="1" t="s">
        <v>5</v>
      </c>
      <c r="E29" s="1" t="s">
        <v>42</v>
      </c>
      <c r="F29" s="1" t="s">
        <v>5</v>
      </c>
      <c r="G29" s="1">
        <v>0.51</v>
      </c>
      <c r="H29" t="b">
        <f t="shared" si="0"/>
        <v>1</v>
      </c>
      <c r="I29" t="b">
        <f t="shared" si="1"/>
        <v>0</v>
      </c>
      <c r="J29" t="b">
        <f t="shared" si="2"/>
        <v>0</v>
      </c>
    </row>
    <row r="30" spans="1:10" x14ac:dyDescent="0.2">
      <c r="A30" s="1">
        <v>29</v>
      </c>
      <c r="B30" s="1" t="s">
        <v>32</v>
      </c>
      <c r="C30" s="1" t="s">
        <v>35</v>
      </c>
      <c r="D30" s="1" t="s">
        <v>5</v>
      </c>
      <c r="E30" s="1" t="s">
        <v>50</v>
      </c>
      <c r="F30" s="1" t="s">
        <v>5</v>
      </c>
      <c r="G30" s="1">
        <v>0.38</v>
      </c>
      <c r="H30" t="b">
        <f t="shared" si="0"/>
        <v>1</v>
      </c>
      <c r="I30" t="b">
        <f t="shared" si="1"/>
        <v>0</v>
      </c>
      <c r="J30" t="b">
        <f t="shared" si="2"/>
        <v>0</v>
      </c>
    </row>
    <row r="31" spans="1:10" x14ac:dyDescent="0.2">
      <c r="H31" cm="1">
        <f t="array" ref="H31">AVERAGE(IF(H2:H30,1,0))</f>
        <v>0.72413793103448276</v>
      </c>
      <c r="I31" cm="1">
        <f t="array" ref="I31">AVERAGE(IF(I2:I30,1,0))</f>
        <v>0.62068965517241381</v>
      </c>
      <c r="J31" cm="1">
        <f t="array" ref="J31">AVERAGE(IF(J2:J30,1,0))</f>
        <v>0.55172413793103448</v>
      </c>
    </row>
  </sheetData>
  <conditionalFormatting sqref="J31">
    <cfRule type="cellIs" dxfId="7" priority="1" stopIfTrue="1" operator="equal">
      <formula>FALSE</formula>
    </cfRule>
    <cfRule type="cellIs" dxfId="6" priority="2" operator="equal">
      <formula>TRUE</formula>
    </cfRule>
  </conditionalFormatting>
  <conditionalFormatting sqref="H2:J30">
    <cfRule type="cellIs" dxfId="5" priority="3" stopIfTrue="1" operator="equal">
      <formula>FALSE</formula>
    </cfRule>
    <cfRule type="cellIs" dxfId="4" priority="4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paad_ctpanda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Lee</dc:creator>
  <cp:lastModifiedBy>Derek Lee</cp:lastModifiedBy>
  <dcterms:created xsi:type="dcterms:W3CDTF">2026-07-31T20:33:03Z</dcterms:created>
  <dcterms:modified xsi:type="dcterms:W3CDTF">2026-08-01T03:09:44Z</dcterms:modified>
</cp:coreProperties>
</file>